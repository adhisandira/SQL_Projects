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Overview" sheetId="1" r:id="rId5"/>
    <sheet state="visible" name="Poin 1" sheetId="2" r:id="rId6"/>
    <sheet state="visible" name="Poin 2" sheetId="3" r:id="rId7"/>
    <sheet state="visible" name="Poin 3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<sst xmlns="http://schemas.openxmlformats.org/spreadsheetml/2006/main" count="180" uniqueCount="93">
  <si>
    <t>Field name</t>
  </si>
  <si>
    <t>Type</t>
  </si>
  <si>
    <t>Description</t>
  </si>
  <si>
    <t>start_date</t>
  </si>
  <si>
    <t>DATE</t>
  </si>
  <si>
    <t>Tanggal perjalanan dimulai</t>
  </si>
  <si>
    <t>start_hour</t>
  </si>
  <si>
    <t>FLOAT</t>
  </si>
  <si>
    <t>Jam dimulainya perjalanan</t>
  </si>
  <si>
    <t>start_minute</t>
  </si>
  <si>
    <t>Menit saat perjalanan dimulai</t>
  </si>
  <si>
    <t>end_date</t>
  </si>
  <si>
    <t>Tanggal perjalanan selesai</t>
  </si>
  <si>
    <t>end_hour</t>
  </si>
  <si>
    <t>Jam perjalanan selesai</t>
  </si>
  <si>
    <t>end_minute</t>
  </si>
  <si>
    <t>Menit saat perjalanan selesai</t>
  </si>
  <si>
    <t>month</t>
  </si>
  <si>
    <t>STRING</t>
  </si>
  <si>
    <t>Bulan perjalanan (format teks, misal: "January")</t>
  </si>
  <si>
    <t>year</t>
  </si>
  <si>
    <t>INTEGER</t>
  </si>
  <si>
    <t>Tahun perjalanan</t>
  </si>
  <si>
    <t>CATEGORY</t>
  </si>
  <si>
    <t>Kategori pengguna (misalnya: "Business", "Personal")</t>
  </si>
  <si>
    <t>START</t>
  </si>
  <si>
    <t>STOP</t>
  </si>
  <si>
    <t>Titik akhir lokasi perjalanan</t>
  </si>
  <si>
    <t>MILES</t>
  </si>
  <si>
    <t>Jarak tempuh perjalanan dalam mil</t>
  </si>
  <si>
    <t>PURPOSE</t>
  </si>
  <si>
    <t>Tujuan perjalanan (misal: Meeting, Errand, etc.)</t>
  </si>
  <si>
    <t>duration</t>
  </si>
  <si>
    <t>Lama perjalanan dalam menit</t>
  </si>
  <si>
    <t>speed</t>
  </si>
  <si>
    <t>Kecepatan rata-rata selama perjalanan (mil per jam)</t>
  </si>
  <si>
    <t>day</t>
  </si>
  <si>
    <t>Hari dalam seminggu saat perjalanan terjadi (misal: "Monday")</t>
  </si>
  <si>
    <t>day_time</t>
  </si>
  <si>
    <t>Waktu umum dalam hari (misal: "Morning", "Afternoon", dst.)</t>
  </si>
  <si>
    <t>Trip Patterns by Category</t>
  </si>
  <si>
    <t>Weekday</t>
  </si>
  <si>
    <t>category</t>
  </si>
  <si>
    <t>day_type</t>
  </si>
  <si>
    <t>total_trip</t>
  </si>
  <si>
    <t>avg_duration_minutes</t>
  </si>
  <si>
    <t>avg_distance_km</t>
  </si>
  <si>
    <t>avg_speed_kmh</t>
  </si>
  <si>
    <t>SUM of total_trip</t>
  </si>
  <si>
    <t>Total Trip</t>
  </si>
  <si>
    <t>Avg Duration (Minutes)</t>
  </si>
  <si>
    <t>Avg Duration (Km)</t>
  </si>
  <si>
    <t>Avg Duration (Km/h)</t>
  </si>
  <si>
    <t>Business</t>
  </si>
  <si>
    <t>Weekend</t>
  </si>
  <si>
    <t>Personal</t>
  </si>
  <si>
    <t>Grand Total</t>
  </si>
  <si>
    <t>Values</t>
  </si>
  <si>
    <t>AVERAGE of avg_duration_minutes</t>
  </si>
  <si>
    <t>AVERAGE of avg_distance_km</t>
  </si>
  <si>
    <t>AVERAGE of avg_speed_kmh</t>
  </si>
  <si>
    <t xml:space="preserve">-- Poin 1
WITH base_data AS (
  SELECT *,
  -- Convert miles dan seed ke km dan km/h
  miles * 1.60934 AS distance_km,
  speed * 1.60934 AS speed_kmh,
  -- Beri keterangan day type
  CASE 
    WHEN day IN ('Saturday', 'Sunday') THEN 'Weekend'
    ELSE 'Weekday' END AS day_type
  FROM `driven-bulwark-483511-p7.Uber.uber_clean`
)
SELECT 
  category, day_type,
  COUNT(*) AS total_trip,
  ROUND(COUNT(*)/COUNT(DISTINCT start_date),2) AS avg_trip_per_day,
  ROUND(AVG(CASE WHEN duration &gt; 0 THEN duration END),2) AS avg_duration_minutes,
  ROUND(AVG(distance_km),2) AS avg_distance_km,
  ROUND(AVG(CASE WHEN duration &gt; 0 THEN speed_kmh END),2) AS avg_speed_kmh
FROM base_data
GROUP BY category, day_type;
</t>
  </si>
  <si>
    <t>Trip Efficiency Analysis</t>
  </si>
  <si>
    <t>count_trip_weekend</t>
  </si>
  <si>
    <t>count_trip_weekday</t>
  </si>
  <si>
    <t>count_trip</t>
  </si>
  <si>
    <t>Friday</t>
  </si>
  <si>
    <t>Tuesday</t>
  </si>
  <si>
    <t>Wednesday</t>
  </si>
  <si>
    <t>Monday</t>
  </si>
  <si>
    <t>Saturday</t>
  </si>
  <si>
    <t>Thursday</t>
  </si>
  <si>
    <t>Sunday</t>
  </si>
  <si>
    <t>-- Poin 2
-- Total trip per jam pada weekend dan weekday
-- Top 10 hari dan jam tersibuk
WITH base_data AS (
  SELECT *,
  -- Convert miles dan seed ke km dan km/h
  miles * 1.60934 AS distance_km,
  speed * 1.60934 AS speed_kmh,
  -- Beri keterangan day type
  CASE 
    WHEN day IN ('Saturday', 'Sunday') THEN 'Weekend'
    ELSE 'Weekday' END AS day_type
  FROM `driven-bulwark-483511-p7.Uber.uber_clean`
)
Total trip per jam pada weekend
SELECT start_hour, COUNT(*) AS count_trip_weekend
From base_data
WHERE day_type = 'Weekend'
GROUP BY start_hour ORDER BY start_hour;</t>
  </si>
  <si>
    <t xml:space="preserve">-- Poin 2
-- Total trip per jam pada weekend dan weekday
-- Top 10 hari dan jam tersibuk
WITH base_data AS (
  SELECT *,
  -- Convert miles dan seed ke km dan km/h
  miles * 1.60934 AS distance_km,
  speed * 1.60934 AS speed_kmh,
  -- Beri keterangan day type
  CASE 
    WHEN day IN ('Saturday', 'Sunday') THEN 'Weekend'
    ELSE 'Weekday' END AS day_type
  FROM `driven-bulwark-483511-p7.Uber.uber_clean`
)
SELECT start_hour, COUNT(*) AS count_trip_weekday
From base_data
WHERE day_type = 'Weekday'
GROUP BY start_hour ORDER BY start_hour;
</t>
  </si>
  <si>
    <t>-- Poin 2
-- Total trip per jam pada weekend dan weekday
-- Top 10 hari dan jam tersibuk
WITH base_data AS (
  SELECT *,
  -- Convert miles dan seed ke km dan km/h
  miles * 1.60934 AS distance_km,
  speed * 1.60934 AS speed_kmh,
  -- Beri keterangan day type
  CASE 
    WHEN day IN ('Saturday', 'Sunday') THEN 'Weekend'
    ELSE 'Weekday' END AS day_type
  FROM `driven-bulwark-483511-p7.Uber.uber_clean`
)
-- Top 10 hari dan jam tersibuk
SELECT day, start_hour, COUNT(*) AS count_trip
FROM base_data
GROUP BY day,start_hour ORDER BY COUNT (*) DESC, start_hour LIMIT 10;</t>
  </si>
  <si>
    <t>Peak Hour Analysis</t>
  </si>
  <si>
    <t>efficiency_category</t>
  </si>
  <si>
    <t>inefficient_trips</t>
  </si>
  <si>
    <t>total_trips</t>
  </si>
  <si>
    <t>inefficient_percentage</t>
  </si>
  <si>
    <t>purpose</t>
  </si>
  <si>
    <t>Efficient</t>
  </si>
  <si>
    <t>Top 5</t>
  </si>
  <si>
    <t>Temporary Site</t>
  </si>
  <si>
    <t>Inefficient</t>
  </si>
  <si>
    <t>Meal/Entertain</t>
  </si>
  <si>
    <t>Moderate</t>
  </si>
  <si>
    <t>Errand/Supplies</t>
  </si>
  <si>
    <t>Meeting</t>
  </si>
  <si>
    <t xml:space="preserve">"-- Poin 3
WITH base_data AS (
  SELECT *,
  -- Convert miles dan speed ke km dan km/h
  miles * 1.60934 AS distance_km,
  speed * 1.60934 AS speed_kmh,
  -- Beri keterangan day type
  CASE 
    WHEN day IN ('Saturday', 'Sunday') THEN 'Weekend'
    ELSE 'Weekday' END AS day_type
  FROM `driven-bulwark-483511-p7.Uber.uber_clean`
),
threshold AS (
  SELECT *,
   CASE 
    WHEN speed_kmh &gt; 40 THEN 'Efficient'
    WHEN speed_kmh BETWEEN 25 AND 40 THEN 'Moderate'
    ELSE 'Inefficient'
   END AS efficiency_category
  FROM base_data
)
SELECT
  day_type,
  efficiency_category,
  COUNT(*) total_trip,
  ROUND(AVG(CASE WHEN duration &gt; 0 THEN duration END),2) AS avg_duration_minutes,
  ROUND(AVG(distance_km),2) AS avg_distance_km,
  ROUND(AVG(CASE WHEN duration &gt; 0 THEN speed_kmh END),2) AS avg_speed_kmh
FROM threshold
GROUP BY day_type, efficiency_category ORDER BY day_type, efficiency_category;"                                
                                </t>
  </si>
  <si>
    <t xml:space="preserve">-- Poin 3
WITH base_data AS (
  SELECT *,
  -- Convert miles dan speed ke km dan km/h
  miles * 1.60934 AS distance_km,
  speed * 1.60934 AS speed_kmh,
  -- Beri keterangan day type
  CASE 
    WHEN day IN ('Saturday', 'Sunday') THEN 'Weekend'
    ELSE 'Weekday' END AS day_type
  FROM `driven-bulwark-483511-p7.Uber.uber_clean`
),
threshold AS (
  SELECT *,
   CASE 
    WHEN speed_kmh &gt; 40 THEN 'Efficient'
    WHEN speed_kmh BETWEEN 25 AND 40 THEN 'Moderate'
    ELSE 'Inefficient'
   END AS efficiency_category
  FROM base_data
),
hourly_summary AS (
  SELECT
    day_type,
    start_hour,
    COUNT(*) AS total_trips,
    COUNTIF(efficiency_category = 'Inefficient') AS inefficient_trips
  FROM threshold
  GROUP BY 1,2
)
SELECT
  day_type,
  start_hour,
  inefficient_trips,
  total_trips,
  ROUND((inefficient_trips/total_trips)*100,2) AS inefficient_percentage
FROM hourly_summary
WHERE total_trips &gt; 10
QUALIFY ROW_NUMBER() OVER (PARTITION BY day_type ORDER BY inefficient_trips/total_trips DESC) &lt;= 5
ORDER BY 1,5 DESC;
</t>
  </si>
  <si>
    <t xml:space="preserve">-- Poin 3
WITH base_data AS (
  SELECT *,
  -- Convert miles dan speed ke km dan km/h
  miles * 1.60934 AS distance_km,
  speed * 1.60934 AS speed_kmh,
  -- Beri keterangan day type
  CASE 
    WHEN day IN ('Saturday', 'Sunday') THEN 'Weekend'
    ELSE 'Weekday' END AS day_type
  FROM `driven-bulwark-483511-p7.Uber.uber_clean`
),
threshold AS (
  SELECT *,
   CASE 
    WHEN speed_kmh &gt; 40 THEN 'Efficient'
    WHEN speed_kmh BETWEEN 25 AND 40 THEN 'Moderate'
    ELSE 'Inefficient'
   END AS efficiency_category
  FROM base_data
),
purpose_summary AS (
  SELECT
    day_type,
    purpose,
    COUNT(*) AS total_trips,
    COUNTIF(efficiency_category = 'Inefficient') AS inefficient_trips
  FROM threshold
  GROUP BY 1,2
)
SELECT
  day_type,
  purpose,
  inefficient_trips,
  total_trips,
  ROUND((inefficient_trips/total_trips)*100,2) AS inefficient_percentage
FROM purpose_summary
-- WHERE total_trips &gt; 10
QUALIFY ROW_NUMBER() OVER (PARTITION BY day_type ORDER BY inefficient_trips/total_trips DESC) &lt;= 2
ORDER BY 1,5 DESC;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</si>
</sst>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rgb="FFFFFFFF"/>
      <name val="Arial"/>
      <scheme val="minor"/>
    </font>
    <font/>
    <font>
      <sz val="9.0"/>
      <color theme="1"/>
      <name val="Roboto Mono"/>
    </font>
    <font>
      <sz val="9.0"/>
      <color rgb="FFB80672"/>
      <name val="'Roboto Mono'"/>
    </font>
    <font>
      <sz val="9.0"/>
      <color rgb="FF000000"/>
      <name val="'Roboto Mono'"/>
    </font>
    <font>
      <color rgb="FF000000"/>
      <name val="Arial"/>
      <scheme val="minor"/>
    </font>
    <font>
      <sz val="9.0"/>
      <color rgb="FF3C4043"/>
      <name val="'Roboto Mono'"/>
    </font>
    <font>
      <sz val="9.0"/>
      <color rgb="FF202124"/>
      <name val="'Roboto Mono'"/>
    </font>
    <font>
      <sz val="9.0"/>
      <color rgb="FF188038"/>
      <name val="'Roboto Mono'"/>
    </font>
    <font>
      <sz val="9.0"/>
      <color rgb="FF1967D2"/>
      <name val="'Roboto Mono'"/>
    </font>
  </fonts>
  <fills count="4">
    <fill>
      <patternFill patternType="none"/>
    </fill>
    <fill>
      <patternFill patternType="lightGray"/>
    </fill>
    <fill>
      <patternFill patternType="solid">
        <fgColor rgb="FF8093B3"/>
        <bgColor rgb="FF8093B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2" fillId="2" fontId="2" numFmtId="0" xfId="0" applyBorder="1" applyFill="1" applyFont="1"/>
    <xf borderId="3" fillId="2" fontId="4" numFmtId="0" xfId="0" applyAlignment="1" applyBorder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0" fillId="0" fontId="2" numFmtId="0" xfId="0" applyFont="1"/>
    <xf borderId="2" fillId="2" fontId="4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2" fontId="2" numFmtId="0" xfId="0" applyAlignment="1" applyBorder="1" applyFont="1">
      <alignment horizontal="center"/>
    </xf>
    <xf borderId="0" fillId="0" fontId="6" numFmtId="0" xfId="0" applyAlignment="1" applyFont="1">
      <alignment readingOrder="0" vertical="top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vertical="top"/>
    </xf>
    <xf borderId="0" fillId="0" fontId="6" numFmtId="0" xfId="0" applyFont="1"/>
    <xf borderId="0" fillId="3" fontId="7" numFmtId="0" xfId="0" applyAlignment="1" applyFill="1" applyFont="1">
      <alignment readingOrder="0"/>
    </xf>
    <xf borderId="0" fillId="3" fontId="8" numFmtId="0" xfId="0" applyAlignment="1" applyFont="1">
      <alignment readingOrder="0"/>
    </xf>
    <xf borderId="0" fillId="0" fontId="9" numFmtId="0" xfId="0" applyFont="1"/>
    <xf borderId="0" fillId="3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12" numFmtId="0" xfId="0" applyAlignment="1" applyFont="1">
      <alignment readingOrder="0"/>
    </xf>
    <xf borderId="0" fillId="3" fontId="11" numFmtId="0" xfId="0" applyFont="1"/>
    <xf borderId="0" fillId="3" fontId="13" numFmtId="0" xfId="0" applyAlignment="1" applyFont="1">
      <alignment readingOrder="0"/>
    </xf>
    <xf borderId="0" fillId="3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Total Trips by Day Type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'Poin 1'!$J$4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'Poin 1'!$I$5:$I$6</c:f>
            </c:strRef>
          </c:cat>
          <c:val>
            <c:numRef>
              <c:f>'Poin 1'!$J$5:$J$6</c:f>
              <c:numCache/>
            </c:numRef>
          </c:val>
        </c:ser>
        <c:axId val="1376480920"/>
        <c:axId val="1277455578"/>
      </c:barChart>
      <c:catAx>
        <c:axId val="13764809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77455578"/>
      </c:catAx>
      <c:valAx>
        <c:axId val="127745557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+mn-lt"/>
              </a:defRPr>
            </a:pPr>
          </a:p>
        </c:txPr>
        <c:crossAx val="1376480920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Trips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'Poin 1'!$M$4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'Poin 1'!$L$5:$L$6</c:f>
            </c:strRef>
          </c:cat>
          <c:val>
            <c:numRef>
              <c:f>'Poin 1'!$M$5:$M$6</c:f>
              <c:numCache/>
            </c:numRef>
          </c:val>
        </c:ser>
        <c:axId val="1655240448"/>
        <c:axId val="1574418983"/>
      </c:barChart>
      <c:catAx>
        <c:axId val="16552404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74418983"/>
      </c:catAx>
      <c:valAx>
        <c:axId val="157441898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55240448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Weekday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'Poin 3'!$C$4</c:f>
            </c:strRef>
          </c:tx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'Poin 3'!$B$5:$B$7</c:f>
            </c:strRef>
          </c:cat>
          <c:val>
            <c:numRef>
              <c:f>'Poin 3'!$C$5:$C$7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Weekend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'Poin 3'!$B$8:$B$10</c:f>
            </c:strRef>
          </c:cat>
          <c:val>
            <c:numRef>
              <c:f>'Poin 3'!$C$8:$C$10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14</xdr:row>
      <xdr:rowOff>200025</xdr:rowOff>
    </xdr:from>
    <xdr:ext cx="3933825" cy="2095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1771650</xdr:colOff>
      <xdr:row>14</xdr:row>
      <xdr:rowOff>200025</xdr:rowOff>
    </xdr:from>
    <xdr:ext cx="3933825" cy="2095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3</xdr:row>
      <xdr:rowOff>19050</xdr:rowOff>
    </xdr:from>
    <xdr:ext cx="4638675" cy="2562225"/>
    <xdr:pic>
      <xdr:nvPicPr>
        <xdr:cNvPr id="169663167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17</xdr:row>
      <xdr:rowOff>190500</xdr:rowOff>
    </xdr:from>
    <xdr:ext cx="4638675" cy="2667000"/>
    <xdr:pic>
      <xdr:nvPicPr>
        <xdr:cNvPr id="89821560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3</xdr:row>
      <xdr:rowOff>0</xdr:rowOff>
    </xdr:from>
    <xdr:ext cx="4429125" cy="27432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180975</xdr:colOff>
      <xdr:row>14</xdr:row>
      <xdr:rowOff>733425</xdr:rowOff>
    </xdr:from>
    <xdr:ext cx="4429125" cy="27432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F8" sheet="Poin 1"/>
  </cacheSource>
  <cacheFields>
    <cacheField name="category" numFmtId="0">
      <sharedItems>
        <s v="Business"/>
        <s v="Personal"/>
      </sharedItems>
    </cacheField>
    <cacheField name="day_type" numFmtId="0">
      <sharedItems>
        <s v="Weekday"/>
        <s v="Weekend"/>
      </sharedItems>
    </cacheField>
    <cacheField name="total_trip" numFmtId="0">
      <sharedItems containsSemiMixedTypes="0" containsString="0" containsNumber="1" containsInteger="1">
        <n v="796.0"/>
        <n v="270.0"/>
        <n v="52.0"/>
        <n v="23.0"/>
      </sharedItems>
    </cacheField>
    <cacheField name="avg_duration_minutes" numFmtId="0">
      <sharedItems containsSemiMixedTypes="0" containsString="0" containsNumber="1">
        <n v="22.64"/>
        <n v="23.76"/>
        <n v="15.46"/>
        <n v="31.78"/>
      </sharedItems>
    </cacheField>
    <cacheField name="avg_distance_km" numFmtId="0">
      <sharedItems containsSemiMixedTypes="0" containsString="0" containsNumber="1">
        <n v="25.2"/>
        <n v="29.75"/>
        <n v="15.49"/>
        <n v="44.53"/>
      </sharedItems>
    </cacheField>
    <cacheField name="avg_speed_kmh" numFmtId="0">
      <sharedItems containsSemiMixedTypes="0" containsString="0" containsNumber="1">
        <n v="71.29"/>
        <n v="66.94"/>
        <n v="52.35"/>
        <n v="58.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oin 1" cacheId="0" dataCaption="" compact="0" compactData="0">
  <location ref="I4:J7" firstHeaderRow="0" firstDataRow="1" firstDataCol="0"/>
  <pivotFields>
    <pivotField name="category" compact="0" outline="0" multipleItemSelectionAllowed="1" showAll="0">
      <items>
        <item x="0"/>
        <item x="1"/>
        <item t="default"/>
      </items>
    </pivotField>
    <pivotField name="day_type" axis="axisRow" compact="0" outline="0" multipleItemSelectionAllowed="1" showAll="0" sortType="ascending">
      <items>
        <item x="0"/>
        <item x="1"/>
        <item t="default"/>
      </items>
    </pivotField>
    <pivotField name="total_trip" dataField="1" compact="0" outline="0" multipleItemSelectionAllowed="1" showAll="0">
      <items>
        <item x="0"/>
        <item x="1"/>
        <item x="2"/>
        <item x="3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t="default"/>
      </items>
    </pivotField>
    <pivotField name="avg_distance_km" compact="0" outline="0" multipleItemSelectionAllowed="1" showAll="0">
      <items>
        <item x="0"/>
        <item x="1"/>
        <item x="2"/>
        <item x="3"/>
        <item t="default"/>
      </items>
    </pivotField>
    <pivotField name="avg_speed_km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SUM of total_trip" fld="2" baseField="0"/>
  </dataFields>
</pivotTableDefinition>
</file>

<file path=xl/pivotTables/pivotTable2.xml><?xml version="1.0" encoding="utf-8"?>
<pivotTableDefinition xmlns="http://schemas.openxmlformats.org/spreadsheetml/2006/main" name="Poin 1 2" cacheId="0" dataCaption="" compact="0" compactData="0">
  <location ref="L4:M7" firstHeaderRow="0" firstDataRow="1" firstDataCol="0"/>
  <pivotFields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day_type" compact="0" outline="0" multipleItemSelectionAllowed="1" showAll="0">
      <items>
        <item x="0"/>
        <item x="1"/>
        <item t="default"/>
      </items>
    </pivotField>
    <pivotField name="total_trip" dataField="1" compact="0" outline="0" multipleItemSelectionAllowed="1" showAll="0">
      <items>
        <item x="0"/>
        <item x="1"/>
        <item x="2"/>
        <item x="3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t="default"/>
      </items>
    </pivotField>
    <pivotField name="avg_distance_km" compact="0" outline="0" multipleItemSelectionAllowed="1" showAll="0">
      <items>
        <item x="0"/>
        <item x="1"/>
        <item x="2"/>
        <item x="3"/>
        <item t="default"/>
      </items>
    </pivotField>
    <pivotField name="avg_speed_km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total_trip" fld="2" baseField="0"/>
  </dataFields>
</pivotTableDefinition>
</file>

<file path=xl/pivotTables/pivotTable3.xml><?xml version="1.0" encoding="utf-8"?>
<pivotTableDefinition xmlns="http://schemas.openxmlformats.org/spreadsheetml/2006/main" name="Poin 1 3" cacheId="0" dataCaption="" rowGrandTotals="0" compact="0" compactData="0">
  <location ref="O4:S6" firstHeaderRow="0" firstDataRow="2" firstDataCol="0" rowPageCount="1" colPageCount="1"/>
  <pivotFields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day_type" axis="axisPage" compact="0" outline="0" multipleItemSelectionAllowed="1" showAll="0">
      <items>
        <item x="0"/>
        <item h="1" x="1"/>
        <item t="default"/>
      </items>
    </pivotField>
    <pivotField name="total_trip" dataField="1" compact="0" outline="0" multipleItemSelectionAllowed="1" showAll="0">
      <items>
        <item x="0"/>
        <item x="1"/>
        <item x="2"/>
        <item x="3"/>
        <item t="default"/>
      </items>
    </pivotField>
    <pivotField name="avg_duration_minutes" dataField="1" compact="0" outline="0" multipleItemSelectionAllowed="1" showAll="0">
      <items>
        <item x="0"/>
        <item x="1"/>
        <item x="2"/>
        <item x="3"/>
        <item t="default"/>
      </items>
    </pivotField>
    <pivotField name="avg_distance_km" dataField="1" compact="0" outline="0" multipleItemSelectionAllowed="1" showAll="0">
      <items>
        <item x="0"/>
        <item x="1"/>
        <item x="2"/>
        <item x="3"/>
        <item t="default"/>
      </items>
    </pivotField>
    <pivotField name="avg_speed_kmh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pageFields>
    <pageField fld="1"/>
  </pageFields>
  <dataFields>
    <dataField name="Total Trip" fld="2" baseField="0"/>
    <dataField name="Avg Duration (Minutes)" fld="3" baseField="0"/>
    <dataField name="Avg Duration (Km)" fld="4" baseField="0"/>
    <dataField name="Avg Duration (Km/h)" fld="5" baseField="0"/>
  </dataFields>
</pivotTableDefinition>
</file>

<file path=xl/pivotTables/pivotTable4.xml><?xml version="1.0" encoding="utf-8"?>
<pivotTableDefinition xmlns="http://schemas.openxmlformats.org/spreadsheetml/2006/main" name="Poin 1 4" cacheId="0" dataCaption="" colGrandTotals="0" compact="0" compactData="0">
  <location ref="I9:M14" firstHeaderRow="0" firstDataRow="2" firstDataCol="1"/>
  <pivotFields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day_type" axis="axisCol" compact="0" outline="0" multipleItemSelectionAllowed="1" showAll="0" sortType="ascending">
      <items>
        <item h="1" x="0"/>
        <item x="1"/>
        <item t="default"/>
      </items>
    </pivotField>
    <pivotField name="total_trip" dataField="1" compact="0" outline="0" multipleItemSelectionAllowed="1" showAll="0">
      <items>
        <item x="0"/>
        <item x="1"/>
        <item x="2"/>
        <item x="3"/>
        <item t="default"/>
      </items>
    </pivotField>
    <pivotField name="avg_duration_minutes" dataField="1" compact="0" outline="0" multipleItemSelectionAllowed="1" showAll="0">
      <items>
        <item x="0"/>
        <item x="1"/>
        <item x="2"/>
        <item x="3"/>
        <item t="default"/>
      </items>
    </pivotField>
    <pivotField name="avg_distance_km" dataField="1" compact="0" outline="0" multipleItemSelectionAllowed="1" showAll="0">
      <items>
        <item x="0"/>
        <item x="1"/>
        <item x="2"/>
        <item x="3"/>
        <item t="default"/>
      </items>
    </pivotField>
    <pivotField name="avg_speed_kmh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1"/>
    <field x="-2"/>
  </colFields>
  <dataFields>
    <dataField name="SUM of total_trip" fld="2" baseField="0"/>
    <dataField name="AVERAGE of avg_duration_minutes" fld="3" subtotal="average" baseField="0"/>
    <dataField name="AVERAGE of avg_distance_km" fld="4" subtotal="average" baseField="0"/>
    <dataField name="AVERAGE of avg_speed_kmh" fld="5" subtotal="average" baseField="0"/>
  </dataFields>
</pivotTableDefinition>
</file>

<file path=xl/pivotTables/pivotTable5.xml><?xml version="1.0" encoding="utf-8"?>
<pivotTableDefinition xmlns="http://schemas.openxmlformats.org/spreadsheetml/2006/main" name="Poin 1 5" cacheId="0" dataCaption="" rowGrandTotals="0" compact="0" compactData="0">
  <location ref="O9:S11" firstHeaderRow="0" firstDataRow="2" firstDataCol="0" rowPageCount="1" colPageCount="1"/>
  <pivotFields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day_type" axis="axisPage" compact="0" outline="0" multipleItemSelectionAllowed="1" showAll="0">
      <items>
        <item h="1" x="0"/>
        <item x="1"/>
        <item t="default"/>
      </items>
    </pivotField>
    <pivotField name="total_trip" dataField="1" compact="0" outline="0" multipleItemSelectionAllowed="1" showAll="0">
      <items>
        <item x="0"/>
        <item x="1"/>
        <item x="2"/>
        <item x="3"/>
        <item t="default"/>
      </items>
    </pivotField>
    <pivotField name="avg_duration_minutes" dataField="1" compact="0" outline="0" multipleItemSelectionAllowed="1" showAll="0">
      <items>
        <item x="0"/>
        <item x="1"/>
        <item x="2"/>
        <item x="3"/>
        <item t="default"/>
      </items>
    </pivotField>
    <pivotField name="avg_distance_km" dataField="1" compact="0" outline="0" multipleItemSelectionAllowed="1" showAll="0">
      <items>
        <item x="0"/>
        <item x="1"/>
        <item x="2"/>
        <item x="3"/>
        <item t="default"/>
      </items>
    </pivotField>
    <pivotField name="avg_speed_kmh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pageFields>
    <pageField fld="1"/>
  </pageFields>
  <dataFields>
    <dataField name="Total Trip" fld="2" baseField="0"/>
    <dataField name="Avg Duration (Minutes)" fld="3" baseField="0"/>
    <dataField name="Avg Duration (Km)" fld="4" baseField="0"/>
    <dataField name="Avg Duration (Km/h)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0"/>
    <col customWidth="1" min="4" max="4" width="13.75"/>
  </cols>
  <sheetData>
    <row r="1">
      <c r="E1" s="1"/>
    </row>
    <row r="4">
      <c r="A4" s="2" t="s">
        <v>0</v>
      </c>
      <c r="B4" s="2" t="s">
        <v>1</v>
      </c>
      <c r="C4" s="2" t="s">
        <v>2</v>
      </c>
    </row>
    <row r="5">
      <c r="A5" s="3" t="s">
        <v>3</v>
      </c>
      <c r="B5" s="3" t="s">
        <v>4</v>
      </c>
      <c r="C5" s="3" t="s">
        <v>5</v>
      </c>
    </row>
    <row r="6">
      <c r="A6" s="3" t="s">
        <v>6</v>
      </c>
      <c r="B6" s="3" t="s">
        <v>7</v>
      </c>
      <c r="C6" s="3" t="s">
        <v>8</v>
      </c>
    </row>
    <row r="7">
      <c r="A7" s="3" t="s">
        <v>9</v>
      </c>
      <c r="B7" s="3" t="s">
        <v>7</v>
      </c>
      <c r="C7" s="3" t="s">
        <v>10</v>
      </c>
    </row>
    <row r="8">
      <c r="A8" s="3" t="s">
        <v>11</v>
      </c>
      <c r="B8" s="3" t="s">
        <v>4</v>
      </c>
      <c r="C8" s="3" t="s">
        <v>12</v>
      </c>
    </row>
    <row r="9">
      <c r="A9" s="3" t="s">
        <v>13</v>
      </c>
      <c r="B9" s="3" t="s">
        <v>7</v>
      </c>
      <c r="C9" s="3" t="s">
        <v>14</v>
      </c>
    </row>
    <row r="10">
      <c r="A10" s="3" t="s">
        <v>15</v>
      </c>
      <c r="B10" s="3" t="s">
        <v>7</v>
      </c>
      <c r="C10" s="3" t="s">
        <v>16</v>
      </c>
    </row>
    <row r="11">
      <c r="A11" s="3" t="s">
        <v>17</v>
      </c>
      <c r="B11" s="3" t="s">
        <v>18</v>
      </c>
      <c r="C11" s="3" t="s">
        <v>19</v>
      </c>
    </row>
    <row r="12">
      <c r="A12" s="3" t="s">
        <v>20</v>
      </c>
      <c r="B12" s="3" t="s">
        <v>21</v>
      </c>
      <c r="C12" s="3" t="s">
        <v>22</v>
      </c>
    </row>
    <row r="13">
      <c r="A13" s="3" t="s">
        <v>23</v>
      </c>
      <c r="B13" s="3" t="s">
        <v>18</v>
      </c>
      <c r="C13" s="3" t="s">
        <v>24</v>
      </c>
    </row>
    <row r="14">
      <c r="A14" s="3" t="s">
        <v>25</v>
      </c>
      <c r="B14" s="3" t="s">
        <v>18</v>
      </c>
      <c r="C14" s="3" t="s">
        <v>24</v>
      </c>
    </row>
    <row r="15">
      <c r="A15" s="3" t="s">
        <v>26</v>
      </c>
      <c r="B15" s="3" t="s">
        <v>18</v>
      </c>
      <c r="C15" s="3" t="s">
        <v>27</v>
      </c>
    </row>
    <row r="16">
      <c r="A16" s="3" t="s">
        <v>28</v>
      </c>
      <c r="B16" s="3" t="s">
        <v>7</v>
      </c>
      <c r="C16" s="3" t="s">
        <v>29</v>
      </c>
    </row>
    <row r="17">
      <c r="A17" s="3" t="s">
        <v>30</v>
      </c>
      <c r="B17" s="3" t="s">
        <v>18</v>
      </c>
      <c r="C17" s="3" t="s">
        <v>31</v>
      </c>
    </row>
    <row r="18">
      <c r="A18" s="3" t="s">
        <v>32</v>
      </c>
      <c r="B18" s="3" t="s">
        <v>7</v>
      </c>
      <c r="C18" s="3" t="s">
        <v>33</v>
      </c>
    </row>
    <row r="19">
      <c r="A19" s="3" t="s">
        <v>34</v>
      </c>
      <c r="B19" s="3" t="s">
        <v>7</v>
      </c>
      <c r="C19" s="3" t="s">
        <v>35</v>
      </c>
    </row>
    <row r="20">
      <c r="A20" s="3" t="s">
        <v>36</v>
      </c>
      <c r="B20" s="3" t="s">
        <v>18</v>
      </c>
      <c r="C20" s="3" t="s">
        <v>37</v>
      </c>
    </row>
    <row r="21">
      <c r="A21" s="3" t="s">
        <v>38</v>
      </c>
      <c r="B21" s="3" t="s">
        <v>18</v>
      </c>
      <c r="C21" s="3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7.38"/>
    <col customWidth="1" min="6" max="6" width="13.88"/>
    <col customWidth="1" min="7" max="7" width="13.25"/>
    <col customWidth="1" min="9" max="9" width="13.38"/>
    <col customWidth="1" min="10" max="10" width="23.38"/>
    <col customWidth="1" min="11" max="11" width="27.63"/>
    <col customWidth="1" min="12" max="12" width="24.13"/>
    <col customWidth="1" min="13" max="13" width="23.38"/>
    <col customWidth="1" min="14" max="14" width="13.38"/>
    <col customWidth="1" min="15" max="16" width="7.75"/>
    <col customWidth="1" min="17" max="17" width="18.0"/>
    <col customWidth="1" min="18" max="18" width="14.63"/>
    <col customWidth="1" min="19" max="19" width="16.0"/>
    <col customWidth="1" min="20" max="20" width="19.88"/>
    <col customWidth="1" min="21" max="21" width="19.25"/>
  </cols>
  <sheetData>
    <row r="2">
      <c r="A2" s="4" t="s">
        <v>40</v>
      </c>
      <c r="B2" s="5"/>
    </row>
    <row r="3">
      <c r="A3" s="6"/>
      <c r="O3" s="7"/>
      <c r="P3" s="8" t="s">
        <v>41</v>
      </c>
      <c r="Q3" s="9"/>
      <c r="R3" s="9"/>
      <c r="S3" s="10"/>
    </row>
    <row r="4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</row>
    <row r="5">
      <c r="A5" s="3" t="s">
        <v>53</v>
      </c>
      <c r="B5" s="3" t="s">
        <v>41</v>
      </c>
      <c r="C5" s="3">
        <v>796.0</v>
      </c>
      <c r="D5" s="3">
        <v>22.64</v>
      </c>
      <c r="E5" s="3">
        <v>25.2</v>
      </c>
      <c r="F5" s="3">
        <v>71.29</v>
      </c>
    </row>
    <row r="6">
      <c r="A6" s="3" t="s">
        <v>53</v>
      </c>
      <c r="B6" s="3" t="s">
        <v>54</v>
      </c>
      <c r="C6" s="3">
        <v>270.0</v>
      </c>
      <c r="D6" s="3">
        <v>23.76</v>
      </c>
      <c r="E6" s="3">
        <v>29.75</v>
      </c>
      <c r="F6" s="3">
        <v>66.94</v>
      </c>
    </row>
    <row r="7">
      <c r="A7" s="3" t="s">
        <v>55</v>
      </c>
      <c r="B7" s="3" t="s">
        <v>41</v>
      </c>
      <c r="C7" s="3">
        <v>52.0</v>
      </c>
      <c r="D7" s="3">
        <v>15.46</v>
      </c>
      <c r="E7" s="3">
        <v>15.49</v>
      </c>
      <c r="F7" s="3">
        <v>52.35</v>
      </c>
    </row>
    <row r="8">
      <c r="A8" s="3" t="s">
        <v>55</v>
      </c>
      <c r="B8" s="3" t="s">
        <v>54</v>
      </c>
      <c r="C8" s="3">
        <v>23.0</v>
      </c>
      <c r="D8" s="3">
        <v>31.78</v>
      </c>
      <c r="E8" s="3">
        <v>44.53</v>
      </c>
      <c r="F8" s="3">
        <v>58.3</v>
      </c>
      <c r="O8" s="7"/>
      <c r="P8" s="8" t="s">
        <v>54</v>
      </c>
      <c r="Q8" s="9"/>
      <c r="R8" s="9"/>
      <c r="S8" s="10"/>
    </row>
    <row r="9"/>
    <row r="10"/>
    <row r="11"/>
    <row r="12"/>
    <row r="13"/>
    <row r="14"/>
    <row r="15">
      <c r="A15" s="16" t="s">
        <v>61</v>
      </c>
      <c r="K15" s="14"/>
    </row>
  </sheetData>
  <mergeCells count="2">
    <mergeCell ref="P3:S3"/>
    <mergeCell ref="P8:S8"/>
  </mergeCell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0.63"/>
    <col customWidth="1" min="5" max="5" width="15.75"/>
    <col hidden="1" min="13" max="13" width="12.63"/>
  </cols>
  <sheetData>
    <row r="2">
      <c r="A2" s="4" t="s">
        <v>62</v>
      </c>
      <c r="B2" s="5"/>
    </row>
    <row r="3">
      <c r="A3" s="6"/>
    </row>
    <row r="4">
      <c r="A4" s="17" t="s">
        <v>6</v>
      </c>
      <c r="B4" s="17" t="s">
        <v>63</v>
      </c>
      <c r="D4" s="17" t="s">
        <v>6</v>
      </c>
      <c r="E4" s="17" t="s">
        <v>64</v>
      </c>
      <c r="L4" s="17" t="s">
        <v>36</v>
      </c>
      <c r="M4" s="17" t="s">
        <v>6</v>
      </c>
      <c r="N4" s="17" t="s">
        <v>6</v>
      </c>
      <c r="O4" s="17" t="s">
        <v>65</v>
      </c>
    </row>
    <row r="5">
      <c r="A5" s="3">
        <v>0.0</v>
      </c>
      <c r="B5" s="3">
        <v>8.0</v>
      </c>
      <c r="D5" s="3">
        <v>0.0</v>
      </c>
      <c r="E5" s="3">
        <v>11.0</v>
      </c>
      <c r="L5" s="3" t="s">
        <v>66</v>
      </c>
      <c r="M5" s="3">
        <v>11.0</v>
      </c>
      <c r="N5" s="18">
        <f t="shared" ref="N5:N14" si="1">TIME(M5,0,0)</f>
        <v>0.4583333333</v>
      </c>
      <c r="O5" s="3">
        <v>24.0</v>
      </c>
    </row>
    <row r="6">
      <c r="A6" s="3">
        <v>1.0</v>
      </c>
      <c r="B6" s="3">
        <v>3.0</v>
      </c>
      <c r="D6" s="3">
        <v>1.0</v>
      </c>
      <c r="E6" s="3">
        <v>2.0</v>
      </c>
      <c r="L6" s="3" t="s">
        <v>66</v>
      </c>
      <c r="M6" s="3">
        <v>13.0</v>
      </c>
      <c r="N6" s="18">
        <f t="shared" si="1"/>
        <v>0.5416666667</v>
      </c>
      <c r="O6" s="3">
        <v>24.0</v>
      </c>
    </row>
    <row r="7">
      <c r="A7" s="3">
        <v>2.0</v>
      </c>
      <c r="B7" s="3">
        <v>2.0</v>
      </c>
      <c r="D7" s="3">
        <v>3.0</v>
      </c>
      <c r="E7" s="3">
        <v>2.0</v>
      </c>
      <c r="L7" s="3" t="s">
        <v>67</v>
      </c>
      <c r="M7" s="3">
        <v>13.0</v>
      </c>
      <c r="N7" s="18">
        <f t="shared" si="1"/>
        <v>0.5416666667</v>
      </c>
      <c r="O7" s="3">
        <v>18.0</v>
      </c>
    </row>
    <row r="8">
      <c r="A8" s="3">
        <v>3.0</v>
      </c>
      <c r="B8" s="3">
        <v>1.0</v>
      </c>
      <c r="D8" s="3">
        <v>5.0</v>
      </c>
      <c r="E8" s="3">
        <v>2.0</v>
      </c>
      <c r="L8" s="3" t="s">
        <v>67</v>
      </c>
      <c r="M8" s="3">
        <v>17.0</v>
      </c>
      <c r="N8" s="18">
        <f t="shared" si="1"/>
        <v>0.7083333333</v>
      </c>
      <c r="O8" s="3">
        <v>18.0</v>
      </c>
    </row>
    <row r="9">
      <c r="A9" s="3">
        <v>5.0</v>
      </c>
      <c r="B9" s="3">
        <v>2.0</v>
      </c>
      <c r="D9" s="3">
        <v>6.0</v>
      </c>
      <c r="E9" s="3">
        <v>3.0</v>
      </c>
      <c r="L9" s="3" t="s">
        <v>68</v>
      </c>
      <c r="M9" s="3">
        <v>17.0</v>
      </c>
      <c r="N9" s="18">
        <f t="shared" si="1"/>
        <v>0.7083333333</v>
      </c>
      <c r="O9" s="3">
        <v>18.0</v>
      </c>
    </row>
    <row r="10">
      <c r="A10" s="3">
        <v>6.0</v>
      </c>
      <c r="B10" s="3">
        <v>1.0</v>
      </c>
      <c r="D10" s="3">
        <v>7.0</v>
      </c>
      <c r="E10" s="3">
        <v>9.0</v>
      </c>
      <c r="L10" s="3" t="s">
        <v>69</v>
      </c>
      <c r="M10" s="3">
        <v>14.0</v>
      </c>
      <c r="N10" s="18">
        <f t="shared" si="1"/>
        <v>0.5833333333</v>
      </c>
      <c r="O10" s="3">
        <v>17.0</v>
      </c>
    </row>
    <row r="11">
      <c r="A11" s="3">
        <v>7.0</v>
      </c>
      <c r="B11" s="3">
        <v>4.0</v>
      </c>
      <c r="D11" s="3">
        <v>8.0</v>
      </c>
      <c r="E11" s="3">
        <v>31.0</v>
      </c>
      <c r="L11" s="3" t="s">
        <v>66</v>
      </c>
      <c r="M11" s="3">
        <v>15.0</v>
      </c>
      <c r="N11" s="18">
        <f t="shared" si="1"/>
        <v>0.625</v>
      </c>
      <c r="O11" s="3">
        <v>17.0</v>
      </c>
    </row>
    <row r="12">
      <c r="A12" s="3">
        <v>8.0</v>
      </c>
      <c r="B12" s="3">
        <v>4.0</v>
      </c>
      <c r="D12" s="3">
        <v>9.0</v>
      </c>
      <c r="E12" s="3">
        <v>34.0</v>
      </c>
      <c r="L12" s="3" t="s">
        <v>70</v>
      </c>
      <c r="M12" s="3">
        <v>17.0</v>
      </c>
      <c r="N12" s="18">
        <f t="shared" si="1"/>
        <v>0.7083333333</v>
      </c>
      <c r="O12" s="3">
        <v>17.0</v>
      </c>
    </row>
    <row r="13">
      <c r="A13" s="3">
        <v>9.0</v>
      </c>
      <c r="B13" s="3">
        <v>17.0</v>
      </c>
      <c r="D13" s="3">
        <v>10.0</v>
      </c>
      <c r="E13" s="3">
        <v>51.0</v>
      </c>
      <c r="L13" s="3" t="s">
        <v>71</v>
      </c>
      <c r="M13" s="3">
        <v>18.0</v>
      </c>
      <c r="N13" s="18">
        <f t="shared" si="1"/>
        <v>0.75</v>
      </c>
      <c r="O13" s="3">
        <v>17.0</v>
      </c>
    </row>
    <row r="14">
      <c r="A14" s="3">
        <v>10.0</v>
      </c>
      <c r="B14" s="3">
        <v>14.0</v>
      </c>
      <c r="D14" s="3">
        <v>11.0</v>
      </c>
      <c r="E14" s="3">
        <v>60.0</v>
      </c>
      <c r="L14" s="3" t="s">
        <v>72</v>
      </c>
      <c r="M14" s="3">
        <v>18.0</v>
      </c>
      <c r="N14" s="18">
        <f t="shared" si="1"/>
        <v>0.75</v>
      </c>
      <c r="O14" s="3">
        <v>17.0</v>
      </c>
    </row>
    <row r="15">
      <c r="A15" s="3">
        <v>11.0</v>
      </c>
      <c r="B15" s="3">
        <v>12.0</v>
      </c>
      <c r="D15" s="3">
        <v>12.0</v>
      </c>
      <c r="E15" s="3">
        <v>59.0</v>
      </c>
    </row>
    <row r="16">
      <c r="A16" s="3">
        <v>12.0</v>
      </c>
      <c r="B16" s="3">
        <v>18.0</v>
      </c>
      <c r="D16" s="3">
        <v>13.0</v>
      </c>
      <c r="E16" s="3">
        <v>81.0</v>
      </c>
    </row>
    <row r="17">
      <c r="A17" s="3">
        <v>13.0</v>
      </c>
      <c r="B17" s="3">
        <v>13.0</v>
      </c>
      <c r="D17" s="3">
        <v>14.0</v>
      </c>
      <c r="E17" s="3">
        <v>63.0</v>
      </c>
    </row>
    <row r="18">
      <c r="A18" s="3">
        <v>14.0</v>
      </c>
      <c r="B18" s="3">
        <v>26.0</v>
      </c>
      <c r="D18" s="3">
        <v>15.0</v>
      </c>
      <c r="E18" s="3">
        <v>71.0</v>
      </c>
    </row>
    <row r="19">
      <c r="A19" s="3">
        <v>15.0</v>
      </c>
      <c r="B19" s="3">
        <v>27.0</v>
      </c>
      <c r="D19" s="3">
        <v>16.0</v>
      </c>
      <c r="E19" s="3">
        <v>69.0</v>
      </c>
    </row>
    <row r="20">
      <c r="A20" s="3">
        <v>16.0</v>
      </c>
      <c r="B20" s="3">
        <v>19.0</v>
      </c>
      <c r="D20" s="3">
        <v>17.0</v>
      </c>
      <c r="E20" s="3">
        <v>68.0</v>
      </c>
    </row>
    <row r="21">
      <c r="A21" s="3">
        <v>17.0</v>
      </c>
      <c r="B21" s="3">
        <v>27.0</v>
      </c>
      <c r="D21" s="3">
        <v>18.0</v>
      </c>
      <c r="E21" s="3">
        <v>65.0</v>
      </c>
    </row>
    <row r="22">
      <c r="A22" s="3">
        <v>18.0</v>
      </c>
      <c r="B22" s="3">
        <v>29.0</v>
      </c>
      <c r="D22" s="3">
        <v>19.0</v>
      </c>
      <c r="E22" s="3">
        <v>47.0</v>
      </c>
    </row>
    <row r="23">
      <c r="A23" s="3">
        <v>19.0</v>
      </c>
      <c r="B23" s="3">
        <v>21.0</v>
      </c>
      <c r="D23" s="3">
        <v>20.0</v>
      </c>
      <c r="E23" s="3">
        <v>56.0</v>
      </c>
    </row>
    <row r="24">
      <c r="A24" s="3">
        <v>20.0</v>
      </c>
      <c r="B24" s="3">
        <v>15.0</v>
      </c>
      <c r="D24" s="3">
        <v>21.0</v>
      </c>
      <c r="E24" s="3">
        <v>33.0</v>
      </c>
    </row>
    <row r="25">
      <c r="A25" s="3">
        <v>21.0</v>
      </c>
      <c r="B25" s="3">
        <v>17.0</v>
      </c>
      <c r="D25" s="3">
        <v>22.0</v>
      </c>
      <c r="E25" s="3">
        <v>22.0</v>
      </c>
    </row>
    <row r="26">
      <c r="A26" s="3">
        <v>22.0</v>
      </c>
      <c r="B26" s="3">
        <v>8.0</v>
      </c>
      <c r="D26" s="3">
        <v>23.0</v>
      </c>
      <c r="E26" s="3">
        <v>9.0</v>
      </c>
    </row>
    <row r="27">
      <c r="A27" s="3">
        <v>23.0</v>
      </c>
      <c r="B27" s="3">
        <v>5.0</v>
      </c>
    </row>
    <row r="33">
      <c r="A33" s="19" t="s">
        <v>73</v>
      </c>
      <c r="B33" s="20"/>
      <c r="C33" s="21"/>
      <c r="D33" s="16" t="s">
        <v>74</v>
      </c>
      <c r="E33" s="20"/>
      <c r="F33" s="20"/>
      <c r="G33" s="20"/>
      <c r="L33" s="16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4" max="4" width="17.38"/>
    <col customWidth="1" min="5" max="5" width="13.88"/>
    <col customWidth="1" min="6" max="6" width="13.25"/>
    <col customWidth="1" min="17" max="17" width="17.25"/>
    <col customWidth="1" min="23" max="23" width="17.25"/>
  </cols>
  <sheetData>
    <row r="2">
      <c r="A2" s="4" t="s">
        <v>76</v>
      </c>
      <c r="B2" s="5"/>
    </row>
    <row r="3">
      <c r="A3" s="6"/>
    </row>
    <row r="4">
      <c r="A4" s="3" t="s">
        <v>43</v>
      </c>
      <c r="B4" s="3" t="s">
        <v>77</v>
      </c>
      <c r="C4" s="3" t="s">
        <v>44</v>
      </c>
      <c r="D4" s="3" t="s">
        <v>45</v>
      </c>
      <c r="E4" s="3" t="s">
        <v>46</v>
      </c>
      <c r="F4" s="3" t="s">
        <v>47</v>
      </c>
      <c r="M4" s="17" t="s">
        <v>43</v>
      </c>
      <c r="N4" s="17" t="s">
        <v>6</v>
      </c>
      <c r="O4" s="17" t="s">
        <v>78</v>
      </c>
      <c r="P4" s="17" t="s">
        <v>79</v>
      </c>
      <c r="Q4" s="17" t="s">
        <v>80</v>
      </c>
      <c r="S4" s="17" t="s">
        <v>43</v>
      </c>
      <c r="T4" s="17" t="s">
        <v>81</v>
      </c>
      <c r="U4" s="17" t="s">
        <v>78</v>
      </c>
      <c r="V4" s="17" t="s">
        <v>79</v>
      </c>
      <c r="W4" s="17" t="s">
        <v>80</v>
      </c>
    </row>
    <row r="5">
      <c r="A5" s="3" t="s">
        <v>41</v>
      </c>
      <c r="B5" s="3" t="s">
        <v>82</v>
      </c>
      <c r="C5" s="3">
        <v>614.0</v>
      </c>
      <c r="D5" s="3">
        <v>22.56</v>
      </c>
      <c r="E5" s="3">
        <v>30.3</v>
      </c>
      <c r="F5" s="3">
        <v>85.99</v>
      </c>
      <c r="L5" s="6" t="s">
        <v>83</v>
      </c>
      <c r="M5" s="3" t="s">
        <v>41</v>
      </c>
      <c r="N5" s="3">
        <v>16.0</v>
      </c>
      <c r="O5" s="3">
        <v>12.0</v>
      </c>
      <c r="P5" s="3">
        <v>69.0</v>
      </c>
      <c r="Q5" s="3">
        <v>17.39</v>
      </c>
      <c r="S5" s="3" t="s">
        <v>41</v>
      </c>
      <c r="T5" s="3" t="s">
        <v>84</v>
      </c>
      <c r="U5" s="3">
        <v>20.0</v>
      </c>
      <c r="V5" s="3">
        <v>155.0</v>
      </c>
      <c r="W5" s="3">
        <v>12.9</v>
      </c>
    </row>
    <row r="6">
      <c r="A6" s="3" t="s">
        <v>41</v>
      </c>
      <c r="B6" s="3" t="s">
        <v>85</v>
      </c>
      <c r="C6" s="3">
        <v>78.0</v>
      </c>
      <c r="D6" s="3">
        <v>26.05</v>
      </c>
      <c r="E6" s="3">
        <v>8.05</v>
      </c>
      <c r="F6" s="3">
        <v>20.27</v>
      </c>
      <c r="M6" s="3" t="s">
        <v>41</v>
      </c>
      <c r="N6" s="3">
        <v>13.0</v>
      </c>
      <c r="O6" s="3">
        <v>12.0</v>
      </c>
      <c r="P6" s="3">
        <v>81.0</v>
      </c>
      <c r="Q6" s="3">
        <v>14.81</v>
      </c>
      <c r="S6" s="3" t="s">
        <v>41</v>
      </c>
      <c r="T6" s="3" t="s">
        <v>86</v>
      </c>
      <c r="U6" s="3">
        <v>22.0</v>
      </c>
      <c r="V6" s="3">
        <v>180.0</v>
      </c>
      <c r="W6" s="3">
        <v>12.22</v>
      </c>
    </row>
    <row r="7">
      <c r="A7" s="3" t="s">
        <v>41</v>
      </c>
      <c r="B7" s="3" t="s">
        <v>87</v>
      </c>
      <c r="C7" s="3">
        <v>156.0</v>
      </c>
      <c r="D7" s="3">
        <v>18.83</v>
      </c>
      <c r="E7" s="3">
        <v>10.48</v>
      </c>
      <c r="F7" s="3">
        <v>32.89</v>
      </c>
      <c r="M7" s="3" t="s">
        <v>41</v>
      </c>
      <c r="N7" s="3">
        <v>19.0</v>
      </c>
      <c r="O7" s="3">
        <v>6.0</v>
      </c>
      <c r="P7" s="3">
        <v>47.0</v>
      </c>
      <c r="Q7" s="3">
        <v>12.77</v>
      </c>
      <c r="S7" s="3" t="s">
        <v>54</v>
      </c>
      <c r="T7" s="3" t="s">
        <v>88</v>
      </c>
      <c r="U7" s="3">
        <v>8.0</v>
      </c>
      <c r="V7" s="3">
        <v>50.0</v>
      </c>
      <c r="W7" s="3">
        <v>16.0</v>
      </c>
    </row>
    <row r="8">
      <c r="A8" s="3" t="s">
        <v>54</v>
      </c>
      <c r="B8" s="3" t="s">
        <v>82</v>
      </c>
      <c r="C8" s="3">
        <v>214.0</v>
      </c>
      <c r="D8" s="3">
        <v>26.72</v>
      </c>
      <c r="E8" s="3">
        <v>39.01</v>
      </c>
      <c r="F8" s="3">
        <v>79.93</v>
      </c>
      <c r="M8" s="3" t="s">
        <v>41</v>
      </c>
      <c r="N8" s="3">
        <v>14.0</v>
      </c>
      <c r="O8" s="3">
        <v>8.0</v>
      </c>
      <c r="P8" s="3">
        <v>63.0</v>
      </c>
      <c r="Q8" s="3">
        <v>12.7</v>
      </c>
      <c r="S8" s="3" t="s">
        <v>54</v>
      </c>
      <c r="T8" s="3" t="s">
        <v>89</v>
      </c>
      <c r="U8" s="3">
        <v>9.0</v>
      </c>
      <c r="V8" s="3">
        <v>85.0</v>
      </c>
      <c r="W8" s="3">
        <v>10.59</v>
      </c>
    </row>
    <row r="9">
      <c r="A9" s="3" t="s">
        <v>54</v>
      </c>
      <c r="B9" s="3" t="s">
        <v>85</v>
      </c>
      <c r="C9" s="3">
        <v>21.0</v>
      </c>
      <c r="D9" s="3">
        <v>16.0</v>
      </c>
      <c r="E9" s="3">
        <v>5.36</v>
      </c>
      <c r="F9" s="3">
        <v>20.44</v>
      </c>
      <c r="M9" s="3" t="s">
        <v>41</v>
      </c>
      <c r="N9" s="3">
        <v>15.0</v>
      </c>
      <c r="O9" s="3">
        <v>7.0</v>
      </c>
      <c r="P9" s="3">
        <v>71.0</v>
      </c>
      <c r="Q9" s="3">
        <v>9.86</v>
      </c>
    </row>
    <row r="10">
      <c r="A10" s="3" t="s">
        <v>54</v>
      </c>
      <c r="B10" s="3" t="s">
        <v>87</v>
      </c>
      <c r="C10" s="3">
        <v>58.0</v>
      </c>
      <c r="D10" s="3">
        <v>18.88</v>
      </c>
      <c r="E10" s="3">
        <v>10.23</v>
      </c>
      <c r="F10" s="3">
        <v>32.64</v>
      </c>
      <c r="M10" s="3" t="s">
        <v>54</v>
      </c>
      <c r="N10" s="3">
        <v>13.0</v>
      </c>
      <c r="O10" s="3">
        <v>3.0</v>
      </c>
      <c r="P10" s="3">
        <v>13.0</v>
      </c>
      <c r="Q10" s="3">
        <v>23.08</v>
      </c>
    </row>
    <row r="11">
      <c r="M11" s="3" t="s">
        <v>54</v>
      </c>
      <c r="N11" s="3">
        <v>15.0</v>
      </c>
      <c r="O11" s="3">
        <v>4.0</v>
      </c>
      <c r="P11" s="3">
        <v>27.0</v>
      </c>
      <c r="Q11" s="3">
        <v>14.81</v>
      </c>
    </row>
    <row r="12">
      <c r="M12" s="3" t="s">
        <v>54</v>
      </c>
      <c r="N12" s="3">
        <v>10.0</v>
      </c>
      <c r="O12" s="3">
        <v>2.0</v>
      </c>
      <c r="P12" s="3">
        <v>14.0</v>
      </c>
      <c r="Q12" s="3">
        <v>14.29</v>
      </c>
    </row>
    <row r="13">
      <c r="M13" s="3" t="s">
        <v>54</v>
      </c>
      <c r="N13" s="3">
        <v>17.0</v>
      </c>
      <c r="O13" s="3">
        <v>3.0</v>
      </c>
      <c r="P13" s="3">
        <v>27.0</v>
      </c>
      <c r="Q13" s="3">
        <v>11.11</v>
      </c>
    </row>
    <row r="14">
      <c r="A14" s="22"/>
      <c r="M14" s="3" t="s">
        <v>54</v>
      </c>
      <c r="N14" s="3">
        <v>9.0</v>
      </c>
      <c r="O14" s="3">
        <v>1.0</v>
      </c>
      <c r="P14" s="3">
        <v>17.0</v>
      </c>
      <c r="Q14" s="3">
        <v>5.88</v>
      </c>
    </row>
    <row r="15">
      <c r="A15" s="23" t="s">
        <v>90</v>
      </c>
      <c r="B15" s="24"/>
      <c r="C15" s="24"/>
      <c r="D15" s="24"/>
      <c r="E15" s="24"/>
      <c r="F15" s="24"/>
      <c r="L15" s="16" t="s">
        <v>91</v>
      </c>
      <c r="S15" s="19" t="s">
        <v>92</v>
      </c>
    </row>
    <row r="16">
      <c r="A16" s="25"/>
    </row>
    <row r="17">
      <c r="A17" s="26"/>
    </row>
    <row r="18">
      <c r="A18" s="22"/>
    </row>
    <row r="19">
      <c r="A19" s="26"/>
    </row>
    <row r="20">
      <c r="A20" s="26"/>
    </row>
    <row r="21">
      <c r="A21" s="22"/>
    </row>
    <row r="22">
      <c r="A22" s="26"/>
    </row>
    <row r="23">
      <c r="A23" s="27"/>
    </row>
    <row r="24">
      <c r="A24" s="23"/>
    </row>
    <row r="25">
      <c r="A25" s="23"/>
    </row>
    <row r="26">
      <c r="A26" s="26"/>
    </row>
    <row r="27">
      <c r="A27" s="28"/>
    </row>
    <row r="28">
      <c r="A28" s="25"/>
    </row>
    <row r="29">
      <c r="A29" s="26"/>
    </row>
    <row r="30">
      <c r="A30" s="26"/>
    </row>
    <row r="31">
      <c r="A31" s="27"/>
    </row>
    <row r="32">
      <c r="A32" s="27"/>
    </row>
    <row r="33">
      <c r="A33" s="27"/>
    </row>
    <row r="34">
      <c r="A34" s="23"/>
    </row>
    <row r="35">
      <c r="A35" s="23"/>
    </row>
    <row r="36">
      <c r="A36" s="26"/>
    </row>
    <row r="37">
      <c r="A37" s="29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3"/>
    </row>
    <row r="44">
      <c r="A44" s="23"/>
    </row>
    <row r="45">
      <c r="A45" s="26"/>
    </row>
    <row r="46">
      <c r="A46" s="30"/>
    </row>
  </sheetData>
  <drawing r:id="rId1"/>
</worksheet>
</file>